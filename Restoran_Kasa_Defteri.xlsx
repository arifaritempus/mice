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arifari/Desktop/TT_Sistem_AG/"/>
    </mc:Choice>
  </mc:AlternateContent>
  <xr:revisionPtr revIDLastSave="0" documentId="8_{723FAE12-9B2A-8040-A029-ED7D9A1FB075}" xr6:coauthVersionLast="47" xr6:coauthVersionMax="47" xr10:uidLastSave="{00000000-0000-0000-0000-000000000000}"/>
  <bookViews>
    <workbookView xWindow="0" yWindow="760" windowWidth="29400" windowHeight="16660" xr2:uid="{00000000-000D-0000-FFFF-FFFF00000000}"/>
  </bookViews>
  <sheets>
    <sheet name="Günlük İşlemler" sheetId="1" r:id="rId1"/>
    <sheet name="Kredili Hesaplar" sheetId="2" r:id="rId2"/>
    <sheet name="Aylık Rapor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 a="1"/>
  <c r="K3" i="1" s="1"/>
  <c r="J1" i="1"/>
  <c r="I1" i="1"/>
  <c r="H1" i="1"/>
  <c r="G1" i="1"/>
  <c r="F1" i="1"/>
  <c r="E1" i="1"/>
  <c r="D1" i="1"/>
  <c r="C7" i="2" l="1"/>
  <c r="B7" i="2"/>
  <c r="D5" i="2"/>
  <c r="D4" i="2"/>
  <c r="D3" i="2"/>
  <c r="D2" i="2"/>
  <c r="D7" i="2" s="1"/>
  <c r="B9" i="3"/>
  <c r="D9" i="3" s="1"/>
  <c r="B8" i="3"/>
  <c r="D8" i="3" s="1"/>
  <c r="C7" i="3"/>
  <c r="B7" i="3"/>
  <c r="C6" i="3"/>
  <c r="B6" i="3"/>
  <c r="C5" i="3"/>
  <c r="B5" i="3"/>
  <c r="C4" i="3"/>
  <c r="B4" i="3"/>
  <c r="D7" i="3" l="1"/>
  <c r="C10" i="3"/>
  <c r="B10" i="3"/>
  <c r="D5" i="3"/>
  <c r="D6" i="3"/>
  <c r="D4" i="3"/>
  <c r="D10" i="3" l="1"/>
  <c r="E4" i="3" s="1"/>
  <c r="E5" i="3" l="1"/>
  <c r="E6" i="3"/>
  <c r="E7" i="3"/>
  <c r="E8" i="3"/>
  <c r="E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<sst xmlns="http://schemas.openxmlformats.org/spreadsheetml/2006/main" count="91" uniqueCount="69">
  <si>
    <t>Tarih</t>
  </si>
  <si>
    <t>Fiş No</t>
  </si>
  <si>
    <t>Açıklama</t>
  </si>
  <si>
    <t>Kredili Satış</t>
  </si>
  <si>
    <t>Kredili Tahsilat</t>
  </si>
  <si>
    <t>Müşteri Adı</t>
  </si>
  <si>
    <t>Notlar</t>
  </si>
  <si>
    <t>01.01.2026</t>
  </si>
  <si>
    <t>001</t>
  </si>
  <si>
    <t>Açılış Bakiyesi</t>
  </si>
  <si>
    <t>-</t>
  </si>
  <si>
    <t>002</t>
  </si>
  <si>
    <t>003</t>
  </si>
  <si>
    <t>004</t>
  </si>
  <si>
    <t>Masa 3 - Kredili</t>
  </si>
  <si>
    <t>Ahmet Yılmaz</t>
  </si>
  <si>
    <t>Veresiye</t>
  </si>
  <si>
    <t>005</t>
  </si>
  <si>
    <t>Sebze Alımı</t>
  </si>
  <si>
    <t>Pazar</t>
  </si>
  <si>
    <t>006</t>
  </si>
  <si>
    <t>Masa 4 - Havale</t>
  </si>
  <si>
    <t>007</t>
  </si>
  <si>
    <t>Elektrik Faturası</t>
  </si>
  <si>
    <t>008</t>
  </si>
  <si>
    <t>Masa 5 - Nakit</t>
  </si>
  <si>
    <t>009</t>
  </si>
  <si>
    <t>Mehmet Demir</t>
  </si>
  <si>
    <t>Kısmi ödeme</t>
  </si>
  <si>
    <t>010</t>
  </si>
  <si>
    <t>Personel Maaş</t>
  </si>
  <si>
    <t>Garson</t>
  </si>
  <si>
    <t>Toplam Borç</t>
  </si>
  <si>
    <t>Ödenen</t>
  </si>
  <si>
    <t>Kalan Borç</t>
  </si>
  <si>
    <t>Son İşlem Tarihi</t>
  </si>
  <si>
    <t>Telefon</t>
  </si>
  <si>
    <t>0532 123 4567</t>
  </si>
  <si>
    <t>0533 234 5678</t>
  </si>
  <si>
    <t>Ayşe Kaya</t>
  </si>
  <si>
    <t>28.12.2025</t>
  </si>
  <si>
    <t>0534 345 6789</t>
  </si>
  <si>
    <t>Fatma Öz</t>
  </si>
  <si>
    <t>30.12.2025</t>
  </si>
  <si>
    <t>0535 456 7890</t>
  </si>
  <si>
    <t>TOPLAM</t>
  </si>
  <si>
    <t>AYLIK KASA RAPORU</t>
  </si>
  <si>
    <t>Ödeme Yöntemi</t>
  </si>
  <si>
    <t>Giriş</t>
  </si>
  <si>
    <t>Çıkış</t>
  </si>
  <si>
    <t>Net</t>
  </si>
  <si>
    <t>Yüzde</t>
  </si>
  <si>
    <t>Nakit</t>
  </si>
  <si>
    <t>POS</t>
  </si>
  <si>
    <t>Havale</t>
  </si>
  <si>
    <t>Çek/Senet</t>
  </si>
  <si>
    <t>0</t>
  </si>
  <si>
    <t>100%</t>
  </si>
  <si>
    <t>Nakit TL</t>
  </si>
  <si>
    <t>Nakit Eur</t>
  </si>
  <si>
    <t>Nakit Gbp</t>
  </si>
  <si>
    <t>Nakit Usd</t>
  </si>
  <si>
    <t>Pos</t>
  </si>
  <si>
    <t>Kredili</t>
  </si>
  <si>
    <t>Toplam Satış</t>
  </si>
  <si>
    <t>Cari Adı</t>
  </si>
  <si>
    <t>Masa 1 - #970970 Nolu Adisyon</t>
  </si>
  <si>
    <t>Kasa Devir</t>
  </si>
  <si>
    <t>Masa 2 - #190190 Nolu Adisyon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</si>
</sst>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\ \₺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0" fontId="0" fillId="0" borderId="1" xfId="0" applyBorder="1"/>
    <xf numFmtId="164" fontId="0" fillId="0" borderId="1" xfId="0" applyNumberFormat="1" applyBorder="1"/>
    <xf numFmtId="0" fontId="2" fillId="3" borderId="0" xfId="0" applyFont="1" applyFill="1"/>
    <xf numFmtId="10" fontId="0" fillId="0" borderId="1" xfId="0" applyNumberFormat="1" applyBorder="1"/>
    <xf numFmtId="0" fontId="5" fillId="2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43" fontId="5" fillId="2" borderId="1" xfId="0" applyNumberFormat="1" applyFont="1" applyFill="1" applyBorder="1" applyAlignment="1">
      <alignment horizontal="center" vertical="center"/>
    </xf>
    <xf numFmtId="43" fontId="6" fillId="0" borderId="0" xfId="0" applyNumberFormat="1" applyFont="1"/>
    <xf numFmtId="40" fontId="6" fillId="0" borderId="1" xfId="1" applyNumberFormat="1" applyFont="1" applyBorder="1" applyAlignment="1">
      <alignment horizontal="right" vertical="center"/>
    </xf>
    <xf numFmtId="0" fontId="3" fillId="0" borderId="0" xfId="0" applyFont="1" applyAlignment="1">
      <alignment horizontal="center"/>
    </xf>
    <xf numFmtId="0" fontId="0" fillId="0" borderId="0" xfId="0"/>
  </cellXfs>
  <cellStyles count="2">
    <cellStyle name="Normal" xfId="0" builtinId="0"/>
    <cellStyle name="Virgül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I10" sqref="I10"/>
    </sheetView>
  </sheetViews>
  <sheetFormatPr baseColWidth="10" defaultColWidth="8.83203125" defaultRowHeight="14" x14ac:dyDescent="0.15"/>
  <cols>
    <col min="1" max="1" width="12" style="9" customWidth="1"/>
    <col min="2" max="2" width="8" style="9" customWidth="1"/>
    <col min="3" max="3" width="30.83203125" style="9" customWidth="1"/>
    <col min="4" max="10" width="12" style="13" customWidth="1"/>
    <col min="11" max="11" width="13.83203125" style="13" bestFit="1" customWidth="1"/>
    <col min="12" max="13" width="15" style="9" customWidth="1"/>
    <col min="14" max="16384" width="8.83203125" style="9"/>
  </cols>
  <sheetData>
    <row r="1" spans="1:13" ht="40" customHeight="1" x14ac:dyDescent="0.15">
      <c r="A1" s="8"/>
      <c r="B1" s="8"/>
      <c r="C1" s="8"/>
      <c r="D1" s="12">
        <f t="shared" ref="D1:J1" si="0">SUM(D3:D1048576)</f>
        <v>8320</v>
      </c>
      <c r="E1" s="12">
        <f t="shared" si="0"/>
        <v>3850</v>
      </c>
      <c r="F1" s="12">
        <f t="shared" si="0"/>
        <v>0</v>
      </c>
      <c r="G1" s="12">
        <f t="shared" si="0"/>
        <v>1200</v>
      </c>
      <c r="H1" s="12">
        <f t="shared" si="0"/>
        <v>2920</v>
      </c>
      <c r="I1" s="12">
        <f t="shared" si="0"/>
        <v>500</v>
      </c>
      <c r="J1" s="12">
        <f t="shared" si="0"/>
        <v>3000</v>
      </c>
      <c r="K1" s="12"/>
      <c r="L1" s="8"/>
      <c r="M1" s="8"/>
    </row>
    <row r="2" spans="1:13" ht="20" customHeight="1" x14ac:dyDescent="0.15">
      <c r="A2" s="8" t="s">
        <v>0</v>
      </c>
      <c r="B2" s="8" t="s">
        <v>1</v>
      </c>
      <c r="C2" s="8" t="s">
        <v>2</v>
      </c>
      <c r="D2" s="12" t="s">
        <v>58</v>
      </c>
      <c r="E2" s="12" t="s">
        <v>59</v>
      </c>
      <c r="F2" s="12" t="s">
        <v>60</v>
      </c>
      <c r="G2" s="12" t="s">
        <v>61</v>
      </c>
      <c r="H2" s="12" t="s">
        <v>62</v>
      </c>
      <c r="I2" s="12" t="s">
        <v>54</v>
      </c>
      <c r="J2" s="12" t="s">
        <v>63</v>
      </c>
      <c r="K2" s="12" t="s">
        <v>64</v>
      </c>
      <c r="L2" s="8" t="s">
        <v>65</v>
      </c>
      <c r="M2" s="8" t="s">
        <v>6</v>
      </c>
    </row>
    <row r="3" spans="1:13" x14ac:dyDescent="0.15">
      <c r="A3" s="10" t="s">
        <v>7</v>
      </c>
      <c r="B3" s="10" t="s">
        <v>8</v>
      </c>
      <c r="C3" s="11" t="s">
        <v>9</v>
      </c>
      <c r="D3" s="14">
        <v>5000</v>
      </c>
      <c r="E3" s="14"/>
      <c r="F3" s="14"/>
      <c r="G3" s="14"/>
      <c r="H3" s="14"/>
      <c r="I3" s="14"/>
      <c r="J3" s="14"/>
      <c r="K3" s="14" cm="1">
        <f t="array" ref="K3">SUM(IF(D3:J3&gt;0,D3:J3,0))</f>
        <v>5000</v>
      </c>
      <c r="L3" s="10"/>
      <c r="M3" s="11" t="s">
        <v>67</v>
      </c>
    </row>
    <row r="4" spans="1:13" x14ac:dyDescent="0.15">
      <c r="A4" s="10" t="s">
        <v>7</v>
      </c>
      <c r="B4" s="10" t="s">
        <v>11</v>
      </c>
      <c r="C4" s="11" t="s">
        <v>66</v>
      </c>
      <c r="D4" s="14">
        <v>3000</v>
      </c>
      <c r="E4" s="14"/>
      <c r="F4" s="14"/>
      <c r="G4" s="14"/>
      <c r="H4" s="14"/>
      <c r="I4" s="14"/>
      <c r="J4" s="14"/>
      <c r="K4" s="14"/>
      <c r="L4" s="10"/>
      <c r="M4" s="11"/>
    </row>
    <row r="5" spans="1:13" x14ac:dyDescent="0.15">
      <c r="A5" s="10" t="s">
        <v>7</v>
      </c>
      <c r="B5" s="10" t="s">
        <v>12</v>
      </c>
      <c r="C5" s="11" t="s">
        <v>68</v>
      </c>
      <c r="D5" s="14"/>
      <c r="E5" s="14"/>
      <c r="F5" s="14"/>
      <c r="G5" s="14"/>
      <c r="H5" s="14">
        <v>2000</v>
      </c>
      <c r="I5" s="14">
        <v>500</v>
      </c>
      <c r="J5" s="14"/>
      <c r="K5" s="14"/>
      <c r="L5" s="10"/>
      <c r="M5" s="11"/>
    </row>
    <row r="6" spans="1:13" x14ac:dyDescent="0.15">
      <c r="A6" s="10" t="s">
        <v>7</v>
      </c>
      <c r="B6" s="10" t="s">
        <v>13</v>
      </c>
      <c r="C6" s="11" t="s">
        <v>14</v>
      </c>
      <c r="D6" s="14"/>
      <c r="E6" s="14"/>
      <c r="F6" s="14"/>
      <c r="G6" s="14"/>
      <c r="H6" s="14"/>
      <c r="I6" s="14"/>
      <c r="J6" s="14">
        <v>3000</v>
      </c>
      <c r="K6" s="14"/>
      <c r="L6" s="10" t="s">
        <v>15</v>
      </c>
      <c r="M6" s="11" t="s">
        <v>16</v>
      </c>
    </row>
    <row r="7" spans="1:13" x14ac:dyDescent="0.15">
      <c r="A7" s="10" t="s">
        <v>7</v>
      </c>
      <c r="B7" s="10" t="s">
        <v>17</v>
      </c>
      <c r="C7" s="11" t="s">
        <v>18</v>
      </c>
      <c r="D7" s="14"/>
      <c r="E7" s="14">
        <v>850</v>
      </c>
      <c r="F7" s="14"/>
      <c r="G7" s="14"/>
      <c r="H7" s="14"/>
      <c r="I7" s="14"/>
      <c r="J7" s="14"/>
      <c r="K7" s="14"/>
      <c r="L7" s="10" t="s">
        <v>10</v>
      </c>
      <c r="M7" s="11" t="s">
        <v>19</v>
      </c>
    </row>
    <row r="8" spans="1:13" x14ac:dyDescent="0.15">
      <c r="A8" s="10" t="s">
        <v>7</v>
      </c>
      <c r="B8" s="10" t="s">
        <v>20</v>
      </c>
      <c r="C8" s="11" t="s">
        <v>21</v>
      </c>
      <c r="D8" s="14"/>
      <c r="E8" s="14"/>
      <c r="F8" s="14"/>
      <c r="G8" s="14"/>
      <c r="H8" s="14">
        <v>920</v>
      </c>
      <c r="I8" s="14"/>
      <c r="J8" s="14"/>
      <c r="K8" s="14"/>
      <c r="L8" s="10" t="s">
        <v>10</v>
      </c>
      <c r="M8" s="11"/>
    </row>
    <row r="9" spans="1:13" x14ac:dyDescent="0.15">
      <c r="A9" s="10" t="s">
        <v>7</v>
      </c>
      <c r="B9" s="10" t="s">
        <v>22</v>
      </c>
      <c r="C9" s="11" t="s">
        <v>23</v>
      </c>
      <c r="D9" s="14"/>
      <c r="E9" s="14"/>
      <c r="F9" s="14"/>
      <c r="G9" s="14">
        <v>1200</v>
      </c>
      <c r="H9" s="14"/>
      <c r="I9" s="14"/>
      <c r="J9" s="14"/>
      <c r="K9" s="14"/>
      <c r="L9" s="10" t="s">
        <v>10</v>
      </c>
      <c r="M9" s="11"/>
    </row>
    <row r="10" spans="1:13" x14ac:dyDescent="0.15">
      <c r="A10" s="10" t="s">
        <v>7</v>
      </c>
      <c r="B10" s="10" t="s">
        <v>24</v>
      </c>
      <c r="C10" s="11" t="s">
        <v>25</v>
      </c>
      <c r="D10" s="14">
        <v>320</v>
      </c>
      <c r="E10" s="14"/>
      <c r="F10" s="14"/>
      <c r="G10" s="14"/>
      <c r="H10" s="14"/>
      <c r="I10" s="14"/>
      <c r="J10" s="14"/>
      <c r="K10" s="14"/>
      <c r="L10" s="10" t="s">
        <v>10</v>
      </c>
      <c r="M10" s="11"/>
    </row>
    <row r="11" spans="1:13" x14ac:dyDescent="0.15">
      <c r="A11" s="10" t="s">
        <v>7</v>
      </c>
      <c r="B11" s="10" t="s">
        <v>26</v>
      </c>
      <c r="C11" s="11" t="s">
        <v>4</v>
      </c>
      <c r="D11" s="14"/>
      <c r="E11" s="14"/>
      <c r="F11" s="14"/>
      <c r="G11" s="14"/>
      <c r="H11" s="14"/>
      <c r="I11" s="14"/>
      <c r="J11" s="14"/>
      <c r="K11" s="14"/>
      <c r="L11" s="10" t="s">
        <v>27</v>
      </c>
      <c r="M11" s="11" t="s">
        <v>28</v>
      </c>
    </row>
    <row r="12" spans="1:13" x14ac:dyDescent="0.15">
      <c r="A12" s="10" t="s">
        <v>7</v>
      </c>
      <c r="B12" s="10" t="s">
        <v>29</v>
      </c>
      <c r="C12" s="11" t="s">
        <v>30</v>
      </c>
      <c r="D12" s="14"/>
      <c r="E12" s="14">
        <v>3000</v>
      </c>
      <c r="F12" s="14"/>
      <c r="G12" s="14"/>
      <c r="H12" s="14"/>
      <c r="I12" s="14"/>
      <c r="J12" s="14"/>
      <c r="K12" s="14"/>
      <c r="L12" s="10" t="s">
        <v>10</v>
      </c>
      <c r="M12" s="11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20" customWidth="1"/>
    <col min="2" max="6" width="15" customWidth="1"/>
    <col min="7" max="7" width="25" customWidth="1"/>
  </cols>
  <sheetData>
    <row r="1" spans="1:7" x14ac:dyDescent="0.2">
      <c r="A1" s="1" t="s">
        <v>5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6</v>
      </c>
    </row>
    <row r="2" spans="1:7" x14ac:dyDescent="0.2">
      <c r="A2" s="4" t="s">
        <v>15</v>
      </c>
      <c r="B2" s="5">
        <v>1250</v>
      </c>
      <c r="C2" s="5">
        <v>0</v>
      </c>
      <c r="D2" s="5">
        <f>B2-C2</f>
        <v>1250</v>
      </c>
      <c r="E2" s="4" t="s">
        <v>7</v>
      </c>
      <c r="F2" s="4" t="s">
        <v>37</v>
      </c>
      <c r="G2" s="4"/>
    </row>
    <row r="3" spans="1:7" x14ac:dyDescent="0.2">
      <c r="A3" s="4" t="s">
        <v>27</v>
      </c>
      <c r="B3" s="5">
        <v>2000</v>
      </c>
      <c r="C3" s="5">
        <v>500</v>
      </c>
      <c r="D3" s="5">
        <f>B3-C3</f>
        <v>1500</v>
      </c>
      <c r="E3" s="4" t="s">
        <v>7</v>
      </c>
      <c r="F3" s="4" t="s">
        <v>38</v>
      </c>
      <c r="G3" s="4"/>
    </row>
    <row r="4" spans="1:7" x14ac:dyDescent="0.2">
      <c r="A4" s="4" t="s">
        <v>39</v>
      </c>
      <c r="B4" s="5">
        <v>750</v>
      </c>
      <c r="C4" s="5">
        <v>0</v>
      </c>
      <c r="D4" s="5">
        <f>B4-C4</f>
        <v>750</v>
      </c>
      <c r="E4" s="4" t="s">
        <v>40</v>
      </c>
      <c r="F4" s="4" t="s">
        <v>41</v>
      </c>
      <c r="G4" s="4"/>
    </row>
    <row r="5" spans="1:7" x14ac:dyDescent="0.2">
      <c r="A5" s="4" t="s">
        <v>42</v>
      </c>
      <c r="B5" s="5">
        <v>1500</v>
      </c>
      <c r="C5" s="5">
        <v>1000</v>
      </c>
      <c r="D5" s="5">
        <f>B5-C5</f>
        <v>500</v>
      </c>
      <c r="E5" s="4" t="s">
        <v>43</v>
      </c>
      <c r="F5" s="4" t="s">
        <v>44</v>
      </c>
      <c r="G5" s="4"/>
    </row>
    <row r="7" spans="1:7" x14ac:dyDescent="0.2">
      <c r="A7" s="6" t="s">
        <v>45</v>
      </c>
      <c r="B7" s="3">
        <f>SUM(B2:B6)</f>
        <v>5500</v>
      </c>
      <c r="C7" s="3">
        <f>SUM(C2:C6)</f>
        <v>1500</v>
      </c>
      <c r="D7" s="3">
        <f>SUM(D2:D6)</f>
        <v>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20" customWidth="1"/>
    <col min="2" max="4" width="15" customWidth="1"/>
    <col min="5" max="5" width="12" customWidth="1"/>
  </cols>
  <sheetData>
    <row r="1" spans="1:5" ht="19" x14ac:dyDescent="0.25">
      <c r="A1" s="15" t="s">
        <v>46</v>
      </c>
      <c r="B1" s="16"/>
      <c r="C1" s="16"/>
      <c r="D1" s="16"/>
      <c r="E1" s="16"/>
    </row>
    <row r="3" spans="1:5" x14ac:dyDescent="0.2">
      <c r="A3" s="1" t="s">
        <v>47</v>
      </c>
      <c r="B3" s="1" t="s">
        <v>48</v>
      </c>
      <c r="C3" s="1" t="s">
        <v>49</v>
      </c>
      <c r="D3" s="1" t="s">
        <v>50</v>
      </c>
      <c r="E3" s="1" t="s">
        <v>51</v>
      </c>
    </row>
    <row r="4" spans="1:5" x14ac:dyDescent="0.2">
      <c r="A4" s="4" t="s">
        <v>52</v>
      </c>
      <c r="B4" s="5">
        <f>SUM('Günlük İşlemler'!D:D)</f>
        <v>16640</v>
      </c>
      <c r="C4" s="5">
        <f>SUM('Günlük İşlemler'!E:E)</f>
        <v>7700</v>
      </c>
      <c r="D4" s="5">
        <f t="shared" ref="D4:D9" si="0">B4-C4</f>
        <v>8940</v>
      </c>
      <c r="E4" s="7" t="e">
        <f t="shared" ref="E4:E9" si="1">D4/$D$10</f>
        <v>#REF!</v>
      </c>
    </row>
    <row r="5" spans="1:5" x14ac:dyDescent="0.2">
      <c r="A5" s="4" t="s">
        <v>53</v>
      </c>
      <c r="B5" s="5">
        <f>SUM('Günlük İşlemler'!F:F)</f>
        <v>0</v>
      </c>
      <c r="C5" s="5">
        <f>SUM('Günlük İşlemler'!G:G)</f>
        <v>2400</v>
      </c>
      <c r="D5" s="5">
        <f t="shared" si="0"/>
        <v>-2400</v>
      </c>
      <c r="E5" s="7" t="e">
        <f t="shared" si="1"/>
        <v>#REF!</v>
      </c>
    </row>
    <row r="6" spans="1:5" x14ac:dyDescent="0.2">
      <c r="A6" s="4" t="s">
        <v>54</v>
      </c>
      <c r="B6" s="5">
        <f>SUM('Günlük İşlemler'!H:H)</f>
        <v>5840</v>
      </c>
      <c r="C6" s="5">
        <f>SUM('Günlük İşlemler'!I:I)</f>
        <v>1000</v>
      </c>
      <c r="D6" s="5">
        <f t="shared" si="0"/>
        <v>4840</v>
      </c>
      <c r="E6" s="7" t="e">
        <f t="shared" si="1"/>
        <v>#REF!</v>
      </c>
    </row>
    <row r="7" spans="1:5" x14ac:dyDescent="0.2">
      <c r="A7" s="4" t="s">
        <v>55</v>
      </c>
      <c r="B7" s="5">
        <f>SUM('Günlük İşlemler'!J:J)</f>
        <v>6000</v>
      </c>
      <c r="C7" s="5" t="e">
        <f>SUM('Günlük İşlemler'!#REF!)</f>
        <v>#REF!</v>
      </c>
      <c r="D7" s="5" t="e">
        <f t="shared" si="0"/>
        <v>#REF!</v>
      </c>
      <c r="E7" s="7" t="e">
        <f t="shared" si="1"/>
        <v>#REF!</v>
      </c>
    </row>
    <row r="8" spans="1:5" x14ac:dyDescent="0.2">
      <c r="A8" s="4" t="s">
        <v>3</v>
      </c>
      <c r="B8" s="5" t="e">
        <f>SUM('Günlük İşlemler'!#REF!)</f>
        <v>#REF!</v>
      </c>
      <c r="C8" s="5" t="s">
        <v>56</v>
      </c>
      <c r="D8" s="5" t="e">
        <f t="shared" si="0"/>
        <v>#REF!</v>
      </c>
      <c r="E8" s="7" t="e">
        <f t="shared" si="1"/>
        <v>#REF!</v>
      </c>
    </row>
    <row r="9" spans="1:5" x14ac:dyDescent="0.2">
      <c r="A9" s="4" t="s">
        <v>4</v>
      </c>
      <c r="B9" s="5" t="e">
        <f>SUM('Günlük İşlemler'!#REF!)</f>
        <v>#REF!</v>
      </c>
      <c r="C9" s="5" t="s">
        <v>56</v>
      </c>
      <c r="D9" s="5" t="e">
        <f t="shared" si="0"/>
        <v>#REF!</v>
      </c>
      <c r="E9" s="7" t="e">
        <f t="shared" si="1"/>
        <v>#REF!</v>
      </c>
    </row>
    <row r="10" spans="1:5" x14ac:dyDescent="0.2">
      <c r="A10" s="6" t="s">
        <v>45</v>
      </c>
      <c r="B10" s="3" t="e">
        <f>SUM(B4:B9)</f>
        <v>#REF!</v>
      </c>
      <c r="C10" s="3" t="e">
        <f>SUM(C4:C9)</f>
        <v>#REF!</v>
      </c>
      <c r="D10" s="3" t="e">
        <f>SUM(D4:D9)</f>
        <v>#REF!</v>
      </c>
      <c r="E10" s="2" t="s">
        <v>57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Günlük İşlemler</vt:lpstr>
      <vt:lpstr>Kredili Hesaplar</vt:lpstr>
      <vt:lpstr>Aylık Rapor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Arif Arı</cp:lastModifiedBy>
  <dcterms:created xsi:type="dcterms:W3CDTF">2026-01-22T12:55:24Z</dcterms:created>
  <dcterms:modified xsi:type="dcterms:W3CDTF">2026-01-26T07:36:23Z</dcterms:modified>
</cp:coreProperties>
</file>